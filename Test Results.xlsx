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a\OneDrive\Desktop\"/>
    </mc:Choice>
  </mc:AlternateContent>
  <xr:revisionPtr revIDLastSave="0" documentId="13_ncr:1_{395F863F-BDAA-49FE-8A81-130C7AB75C9E}" xr6:coauthVersionLast="47" xr6:coauthVersionMax="47" xr10:uidLastSave="{00000000-0000-0000-0000-000000000000}"/>
  <bookViews>
    <workbookView xWindow="-108" yWindow="-108" windowWidth="23256" windowHeight="13176" activeTab="2" xr2:uid="{B9A7296E-C0F9-47C8-A729-91E6C31EBEE4}"/>
  </bookViews>
  <sheets>
    <sheet name="Instrumentation_Amplifier" sheetId="1" r:id="rId1"/>
    <sheet name="TP2" sheetId="2" r:id="rId2"/>
    <sheet name="LP_O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E17" i="3"/>
  <c r="F17" i="3"/>
  <c r="G17" i="3"/>
  <c r="E16" i="3"/>
  <c r="F16" i="3"/>
  <c r="G16" i="3" s="1"/>
  <c r="E15" i="3"/>
  <c r="F15" i="3"/>
  <c r="G15" i="3"/>
  <c r="E14" i="3"/>
  <c r="F14" i="3"/>
  <c r="G14" i="3"/>
  <c r="E13" i="3"/>
  <c r="F13" i="3"/>
  <c r="G13" i="3"/>
  <c r="E12" i="3"/>
  <c r="F12" i="3"/>
  <c r="G12" i="3"/>
  <c r="E11" i="3"/>
  <c r="F11" i="3"/>
  <c r="G11" i="3"/>
  <c r="E10" i="3"/>
  <c r="F10" i="3"/>
  <c r="G10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E3" i="3"/>
  <c r="E4" i="3"/>
  <c r="E5" i="3"/>
  <c r="E6" i="3"/>
  <c r="E7" i="3"/>
  <c r="E8" i="3"/>
  <c r="E9" i="3"/>
  <c r="F2" i="3"/>
  <c r="G2" i="3" s="1"/>
  <c r="E2" i="3"/>
  <c r="E6" i="2"/>
  <c r="G3" i="2"/>
  <c r="G7" i="2"/>
  <c r="G8" i="2"/>
  <c r="G9" i="2"/>
  <c r="G10" i="2"/>
  <c r="G2" i="1"/>
  <c r="F3" i="2"/>
  <c r="F4" i="2"/>
  <c r="G4" i="2" s="1"/>
  <c r="F5" i="2"/>
  <c r="G5" i="2" s="1"/>
  <c r="F6" i="2"/>
  <c r="G6" i="2" s="1"/>
  <c r="F7" i="2"/>
  <c r="F8" i="2"/>
  <c r="F9" i="2"/>
  <c r="F10" i="2"/>
  <c r="F2" i="1"/>
  <c r="F2" i="2"/>
  <c r="G2" i="2" s="1"/>
  <c r="E3" i="2"/>
  <c r="E4" i="2"/>
  <c r="E5" i="2"/>
  <c r="E7" i="2"/>
  <c r="E8" i="2"/>
  <c r="E9" i="2"/>
  <c r="E10" i="2"/>
  <c r="E2" i="2"/>
  <c r="H3" i="1"/>
  <c r="H4" i="1"/>
  <c r="H5" i="1"/>
  <c r="H6" i="1"/>
  <c r="H7" i="1"/>
  <c r="H8" i="1"/>
  <c r="H9" i="1"/>
  <c r="H10" i="1"/>
  <c r="H11" i="1"/>
  <c r="H12" i="1"/>
  <c r="H13" i="1"/>
  <c r="H14" i="1"/>
  <c r="H2" i="1"/>
  <c r="E14" i="1"/>
  <c r="F14" i="1"/>
  <c r="G14" i="1" s="1"/>
  <c r="E13" i="1"/>
  <c r="F13" i="1"/>
  <c r="G13" i="1"/>
  <c r="E12" i="1"/>
  <c r="F12" i="1"/>
  <c r="G12" i="1" s="1"/>
  <c r="E11" i="1"/>
  <c r="F11" i="1"/>
  <c r="G11" i="1"/>
  <c r="E10" i="1"/>
  <c r="F10" i="1"/>
  <c r="G10" i="1" s="1"/>
  <c r="E9" i="1"/>
  <c r="F9" i="1"/>
  <c r="G9" i="1"/>
  <c r="F4" i="1"/>
  <c r="G4" i="1" s="1"/>
  <c r="F5" i="1"/>
  <c r="G5" i="1" s="1"/>
  <c r="F6" i="1"/>
  <c r="G6" i="1" s="1"/>
  <c r="F7" i="1"/>
  <c r="G7" i="1" s="1"/>
  <c r="F8" i="1"/>
  <c r="G8" i="1" s="1"/>
  <c r="E4" i="1"/>
  <c r="E5" i="1"/>
  <c r="E6" i="1"/>
  <c r="E7" i="1"/>
  <c r="E8" i="1"/>
  <c r="E3" i="1"/>
  <c r="F3" i="1"/>
  <c r="G3" i="1" s="1"/>
  <c r="E2" i="1"/>
</calcChain>
</file>

<file path=xl/sharedStrings.xml><?xml version="1.0" encoding="utf-8"?>
<sst xmlns="http://schemas.openxmlformats.org/spreadsheetml/2006/main" count="37" uniqueCount="18">
  <si>
    <t>Input</t>
  </si>
  <si>
    <t>offset</t>
  </si>
  <si>
    <t>output pk1</t>
  </si>
  <si>
    <t>output pk2</t>
  </si>
  <si>
    <t>freq</t>
  </si>
  <si>
    <t>750 Hz</t>
  </si>
  <si>
    <t>out offset</t>
  </si>
  <si>
    <t>diff</t>
  </si>
  <si>
    <t>gain</t>
  </si>
  <si>
    <t>751 Hz</t>
  </si>
  <si>
    <t>752 Hz</t>
  </si>
  <si>
    <t>753 Hz</t>
  </si>
  <si>
    <t>754 Hz</t>
  </si>
  <si>
    <t>755 Hz</t>
  </si>
  <si>
    <t>offset gain</t>
  </si>
  <si>
    <t>756 Hz</t>
  </si>
  <si>
    <t>757 Hz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</si>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</sst>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69816272965886E-2"/>
          <c:y val="7.407407407407407E-2"/>
          <c:w val="0.8901968503937007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LP_OUT!$I:$I</c:f>
              <c:strCache>
                <c:ptCount val="17"/>
                <c:pt idx="0">
                  <c:v>freq</c:v>
                </c:pt>
                <c:pt idx="1">
                  <c:v>1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400</c:v>
                </c:pt>
                <c:pt idx="8">
                  <c:v>500</c:v>
                </c:pt>
                <c:pt idx="9">
                  <c:v>600</c:v>
                </c:pt>
                <c:pt idx="10">
                  <c:v>700</c:v>
                </c:pt>
                <c:pt idx="11">
                  <c:v>800</c:v>
                </c:pt>
                <c:pt idx="12">
                  <c:v>900</c:v>
                </c:pt>
                <c:pt idx="13">
                  <c:v>1000</c:v>
                </c:pt>
                <c:pt idx="14">
                  <c:v>1250</c:v>
                </c:pt>
                <c:pt idx="15">
                  <c:v>1500</c:v>
                </c:pt>
                <c:pt idx="16">
                  <c:v>2000</c:v>
                </c:pt>
              </c:strCache>
            </c:strRef>
          </c:xVal>
          <c:yVal>
            <c:numRef>
              <c:f>LP_OUT!$G:$G</c:f>
              <c:numCache>
                <c:formatCode>General</c:formatCode>
                <c:ptCount val="1048576"/>
                <c:pt idx="0">
                  <c:v>0</c:v>
                </c:pt>
                <c:pt idx="1">
                  <c:v>0.52233333333333332</c:v>
                </c:pt>
                <c:pt idx="2">
                  <c:v>45.266666666666673</c:v>
                </c:pt>
                <c:pt idx="3">
                  <c:v>78.533333333333331</c:v>
                </c:pt>
                <c:pt idx="4">
                  <c:v>78.533333333333331</c:v>
                </c:pt>
                <c:pt idx="5">
                  <c:v>78.533333333333331</c:v>
                </c:pt>
                <c:pt idx="6">
                  <c:v>75.416666666666671</c:v>
                </c:pt>
                <c:pt idx="7">
                  <c:v>67.600000000000009</c:v>
                </c:pt>
                <c:pt idx="8">
                  <c:v>57.666666666666671</c:v>
                </c:pt>
                <c:pt idx="9">
                  <c:v>47.133333333333333</c:v>
                </c:pt>
                <c:pt idx="10">
                  <c:v>37.799999999999997</c:v>
                </c:pt>
                <c:pt idx="11">
                  <c:v>30.966666666666669</c:v>
                </c:pt>
                <c:pt idx="12">
                  <c:v>24.533333333333335</c:v>
                </c:pt>
                <c:pt idx="13">
                  <c:v>20.8</c:v>
                </c:pt>
                <c:pt idx="14">
                  <c:v>13.400000000000002</c:v>
                </c:pt>
                <c:pt idx="15">
                  <c:v>9.5666666666666664</c:v>
                </c:pt>
                <c:pt idx="16">
                  <c:v>5.3666666666666671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620-4A2C-85ED-84A771266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585391"/>
        <c:axId val="1560590191"/>
      </c:scatterChart>
      <c:valAx>
        <c:axId val="156058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90191"/>
        <c:crosses val="autoZero"/>
        <c:crossBetween val="midCat"/>
      </c:valAx>
      <c:valAx>
        <c:axId val="156059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8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Frequency</a:t>
            </a:r>
            <a:r>
              <a:rPr lang="en-CA" baseline="0"/>
              <a:t> plot of system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LP_OUT!$K$1</c:f>
              <c:strCache>
                <c:ptCount val="1"/>
                <c:pt idx="0">
                  <c:v>Log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LP_OUT!$I$2:$I$17</c:f>
              <c:numCache>
                <c:formatCode>General</c:formatCode>
                <c:ptCount val="16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600</c:v>
                </c:pt>
                <c:pt idx="9">
                  <c:v>700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  <c:pt idx="13">
                  <c:v>1250</c:v>
                </c:pt>
                <c:pt idx="14">
                  <c:v>1500</c:v>
                </c:pt>
                <c:pt idx="15">
                  <c:v>2000</c:v>
                </c:pt>
              </c:numCache>
            </c:numRef>
          </c:xVal>
          <c:yVal>
            <c:numRef>
              <c:f>LP_OUT!$K$2:$K$17</c:f>
              <c:numCache>
                <c:formatCode>General</c:formatCode>
                <c:ptCount val="16"/>
                <c:pt idx="0">
                  <c:v>-5.6410451650214464</c:v>
                </c:pt>
                <c:pt idx="1">
                  <c:v>33.115570304496408</c:v>
                </c:pt>
                <c:pt idx="2">
                  <c:v>37.90108062790803</c:v>
                </c:pt>
                <c:pt idx="3">
                  <c:v>37.90108062790803</c:v>
                </c:pt>
                <c:pt idx="4">
                  <c:v>37.90108062790803</c:v>
                </c:pt>
                <c:pt idx="5">
                  <c:v>37.549346663151567</c:v>
                </c:pt>
                <c:pt idx="6">
                  <c:v>36.598933918832721</c:v>
                </c:pt>
                <c:pt idx="7">
                  <c:v>35.218496968182663</c:v>
                </c:pt>
                <c:pt idx="8">
                  <c:v>33.466563094824366</c:v>
                </c:pt>
                <c:pt idx="9">
                  <c:v>31.549835996744505</c:v>
                </c:pt>
                <c:pt idx="10">
                  <c:v>29.81788918547959</c:v>
                </c:pt>
                <c:pt idx="11">
                  <c:v>27.795131192356731</c:v>
                </c:pt>
                <c:pt idx="12">
                  <c:v>26.361266699255232</c:v>
                </c:pt>
                <c:pt idx="13">
                  <c:v>22.542095967296156</c:v>
                </c:pt>
                <c:pt idx="14">
                  <c:v>19.615212840286599</c:v>
                </c:pt>
                <c:pt idx="15">
                  <c:v>14.594092426243746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B-4541-9656-7EB34184E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226447"/>
        <c:axId val="1794220207"/>
      </c:scatterChart>
      <c:valAx>
        <c:axId val="179422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</a:t>
                </a:r>
                <a:r>
                  <a:rPr lang="en-CA" baseline="0"/>
                  <a:t> (Hz)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220207"/>
        <c:crosses val="autoZero"/>
        <c:crossBetween val="midCat"/>
      </c:valAx>
      <c:valAx>
        <c:axId val="17942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Gain</a:t>
                </a:r>
                <a:r>
                  <a:rPr lang="en-CA" baseline="0"/>
                  <a:t> (dB)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22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6</xdr:row>
      <xdr:rowOff>167640</xdr:rowOff>
    </xdr:from>
    <xdr:to>
      <xdr:col>20</xdr:col>
      <xdr:colOff>472440</xdr:colOff>
      <xdr:row>21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C9B1B6-B984-2BDD-4C16-992D37A69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5</xdr:row>
      <xdr:rowOff>38100</xdr:rowOff>
    </xdr:from>
    <xdr:to>
      <xdr:col>12</xdr:col>
      <xdr:colOff>441960</xdr:colOff>
      <xdr:row>20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A02DB0-4FB7-28CA-0844-D94CB9901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AE35-3A8A-4167-B408-27375B5C1131}">
  <dimension ref="A1:J14"/>
  <sheetViews>
    <sheetView workbookViewId="0">
      <selection sqref="A1:H14"/>
    </sheetView>
  </sheetViews>
  <sheetFormatPr defaultRowHeight="14.4" x14ac:dyDescent="0.3"/>
  <cols>
    <col min="4" max="4" width="12.77734375" customWidth="1"/>
    <col min="6" max="8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14</v>
      </c>
      <c r="I1" t="s">
        <v>4</v>
      </c>
      <c r="J1" t="s">
        <v>5</v>
      </c>
    </row>
    <row r="2" spans="1:10" x14ac:dyDescent="0.3">
      <c r="A2">
        <v>0.01</v>
      </c>
      <c r="B2">
        <v>0.5</v>
      </c>
      <c r="C2">
        <v>1.478</v>
      </c>
      <c r="D2">
        <v>1.5204</v>
      </c>
      <c r="E2">
        <f>(C2+D2)/2</f>
        <v>1.4992000000000001</v>
      </c>
      <c r="F2">
        <f>D2-C2</f>
        <v>4.2399999999999993E-2</v>
      </c>
      <c r="G2">
        <f>F2/A2</f>
        <v>4.2399999999999993</v>
      </c>
      <c r="H2">
        <f>(E2-0.55)/B2</f>
        <v>1.8984000000000001</v>
      </c>
      <c r="J2" t="s">
        <v>9</v>
      </c>
    </row>
    <row r="3" spans="1:10" x14ac:dyDescent="0.3">
      <c r="A3">
        <v>0.05</v>
      </c>
      <c r="B3">
        <v>0.5</v>
      </c>
      <c r="C3">
        <v>1.3979999999999999</v>
      </c>
      <c r="D3">
        <v>1.5980000000000001</v>
      </c>
      <c r="E3">
        <f>(C3+D3)/2</f>
        <v>1.498</v>
      </c>
      <c r="F3">
        <f>D3-C3</f>
        <v>0.20000000000000018</v>
      </c>
      <c r="G3">
        <f>F3/A3</f>
        <v>4.0000000000000036</v>
      </c>
      <c r="H3">
        <f t="shared" ref="H3:H14" si="0">(E3-0.55)/B3</f>
        <v>1.8959999999999999</v>
      </c>
      <c r="J3" t="s">
        <v>10</v>
      </c>
    </row>
    <row r="4" spans="1:10" x14ac:dyDescent="0.3">
      <c r="A4">
        <v>0.06</v>
      </c>
      <c r="B4">
        <v>0.5</v>
      </c>
      <c r="C4">
        <v>1.381</v>
      </c>
      <c r="D4">
        <v>1.6174999999999999</v>
      </c>
      <c r="E4">
        <f t="shared" ref="E4:E14" si="1">(C4+D4)/2</f>
        <v>1.49925</v>
      </c>
      <c r="F4">
        <f t="shared" ref="F4:F14" si="2">D4-C4</f>
        <v>0.23649999999999993</v>
      </c>
      <c r="G4">
        <f t="shared" ref="G4:G14" si="3">F4/A4</f>
        <v>3.9416666666666655</v>
      </c>
      <c r="H4">
        <f t="shared" si="0"/>
        <v>1.8984999999999999</v>
      </c>
      <c r="J4" t="s">
        <v>11</v>
      </c>
    </row>
    <row r="5" spans="1:10" x14ac:dyDescent="0.3">
      <c r="A5">
        <v>0.1</v>
      </c>
      <c r="B5">
        <v>0.5</v>
      </c>
      <c r="C5">
        <v>1.3</v>
      </c>
      <c r="D5">
        <v>1.6950000000000001</v>
      </c>
      <c r="E5">
        <f t="shared" si="1"/>
        <v>1.4975000000000001</v>
      </c>
      <c r="F5">
        <f t="shared" si="2"/>
        <v>0.39500000000000002</v>
      </c>
      <c r="G5">
        <f t="shared" si="3"/>
        <v>3.95</v>
      </c>
      <c r="H5">
        <f t="shared" si="0"/>
        <v>1.895</v>
      </c>
      <c r="J5" t="s">
        <v>12</v>
      </c>
    </row>
    <row r="6" spans="1:10" x14ac:dyDescent="0.3">
      <c r="A6">
        <v>0.15</v>
      </c>
      <c r="B6">
        <v>0.5</v>
      </c>
      <c r="C6">
        <v>1.202</v>
      </c>
      <c r="D6">
        <v>1.796</v>
      </c>
      <c r="E6">
        <f t="shared" si="1"/>
        <v>1.4990000000000001</v>
      </c>
      <c r="F6">
        <f t="shared" si="2"/>
        <v>0.59400000000000008</v>
      </c>
      <c r="G6">
        <f t="shared" si="3"/>
        <v>3.9600000000000009</v>
      </c>
      <c r="H6">
        <f t="shared" si="0"/>
        <v>1.8980000000000001</v>
      </c>
      <c r="J6" t="s">
        <v>13</v>
      </c>
    </row>
    <row r="7" spans="1:10" x14ac:dyDescent="0.3">
      <c r="A7">
        <v>0.05</v>
      </c>
      <c r="B7">
        <v>0.1</v>
      </c>
      <c r="C7">
        <v>0.621</v>
      </c>
      <c r="D7">
        <v>0.81899999999999995</v>
      </c>
      <c r="E7">
        <f t="shared" si="1"/>
        <v>0.72</v>
      </c>
      <c r="F7">
        <f t="shared" si="2"/>
        <v>0.19799999999999995</v>
      </c>
      <c r="G7">
        <f t="shared" si="3"/>
        <v>3.9599999999999991</v>
      </c>
      <c r="H7">
        <f t="shared" si="0"/>
        <v>1.6999999999999993</v>
      </c>
      <c r="J7" t="s">
        <v>15</v>
      </c>
    </row>
    <row r="8" spans="1:10" x14ac:dyDescent="0.3">
      <c r="A8">
        <v>0.05</v>
      </c>
      <c r="B8">
        <v>0.2</v>
      </c>
      <c r="C8">
        <v>0.81399999999999995</v>
      </c>
      <c r="D8">
        <v>1.01</v>
      </c>
      <c r="E8">
        <f t="shared" si="1"/>
        <v>0.91199999999999992</v>
      </c>
      <c r="F8">
        <f t="shared" si="2"/>
        <v>0.19600000000000006</v>
      </c>
      <c r="G8">
        <f t="shared" si="3"/>
        <v>3.9200000000000013</v>
      </c>
      <c r="H8">
        <f t="shared" si="0"/>
        <v>1.8099999999999994</v>
      </c>
      <c r="J8" t="s">
        <v>16</v>
      </c>
    </row>
    <row r="9" spans="1:10" x14ac:dyDescent="0.3">
      <c r="A9">
        <v>0.05</v>
      </c>
      <c r="B9">
        <v>0.4</v>
      </c>
      <c r="C9">
        <v>1.2070000000000001</v>
      </c>
      <c r="D9">
        <v>1.4019999999999999</v>
      </c>
      <c r="E9">
        <f t="shared" si="1"/>
        <v>1.3045</v>
      </c>
      <c r="F9">
        <f t="shared" si="2"/>
        <v>0.19499999999999984</v>
      </c>
      <c r="G9">
        <f t="shared" si="3"/>
        <v>3.8999999999999968</v>
      </c>
      <c r="H9">
        <f t="shared" si="0"/>
        <v>1.8862499999999998</v>
      </c>
    </row>
    <row r="10" spans="1:10" x14ac:dyDescent="0.3">
      <c r="A10">
        <v>0.05</v>
      </c>
      <c r="B10">
        <v>0.6</v>
      </c>
      <c r="C10">
        <v>1.5960000000000001</v>
      </c>
      <c r="D10">
        <v>1.792</v>
      </c>
      <c r="E10">
        <f t="shared" si="1"/>
        <v>1.694</v>
      </c>
      <c r="F10">
        <f t="shared" si="2"/>
        <v>0.19599999999999995</v>
      </c>
      <c r="G10">
        <f t="shared" si="3"/>
        <v>3.919999999999999</v>
      </c>
      <c r="H10">
        <f t="shared" si="0"/>
        <v>1.9066666666666665</v>
      </c>
    </row>
    <row r="11" spans="1:10" x14ac:dyDescent="0.3">
      <c r="A11">
        <v>0.05</v>
      </c>
      <c r="B11">
        <v>0.7</v>
      </c>
      <c r="C11">
        <v>1.7889999999999999</v>
      </c>
      <c r="D11">
        <v>1.9850000000000001</v>
      </c>
      <c r="E11">
        <f t="shared" si="1"/>
        <v>1.887</v>
      </c>
      <c r="F11">
        <f t="shared" si="2"/>
        <v>0.19600000000000017</v>
      </c>
      <c r="G11">
        <f t="shared" si="3"/>
        <v>3.9200000000000035</v>
      </c>
      <c r="H11">
        <f t="shared" si="0"/>
        <v>1.9100000000000001</v>
      </c>
    </row>
    <row r="12" spans="1:10" x14ac:dyDescent="0.3">
      <c r="A12">
        <v>0.05</v>
      </c>
      <c r="B12">
        <v>0.8</v>
      </c>
      <c r="C12">
        <v>1.984</v>
      </c>
      <c r="D12">
        <v>2.181</v>
      </c>
      <c r="E12">
        <f t="shared" si="1"/>
        <v>2.0825</v>
      </c>
      <c r="F12">
        <f t="shared" si="2"/>
        <v>0.19700000000000006</v>
      </c>
      <c r="G12">
        <f t="shared" si="3"/>
        <v>3.9400000000000013</v>
      </c>
      <c r="H12">
        <f t="shared" si="0"/>
        <v>1.9156249999999999</v>
      </c>
    </row>
    <row r="13" spans="1:10" x14ac:dyDescent="0.3">
      <c r="A13">
        <v>0.05</v>
      </c>
      <c r="B13">
        <v>0.9</v>
      </c>
      <c r="C13">
        <v>2.181</v>
      </c>
      <c r="D13">
        <v>2.3759999999999999</v>
      </c>
      <c r="E13">
        <f t="shared" si="1"/>
        <v>2.2785000000000002</v>
      </c>
      <c r="F13">
        <f t="shared" si="2"/>
        <v>0.19499999999999984</v>
      </c>
      <c r="G13">
        <f t="shared" si="3"/>
        <v>3.8999999999999968</v>
      </c>
      <c r="H13">
        <f t="shared" si="0"/>
        <v>1.9205555555555556</v>
      </c>
    </row>
    <row r="14" spans="1:10" x14ac:dyDescent="0.3">
      <c r="A14">
        <v>0.05</v>
      </c>
      <c r="B14">
        <v>0</v>
      </c>
      <c r="C14">
        <v>0.54700000000000004</v>
      </c>
      <c r="D14">
        <v>0.626</v>
      </c>
      <c r="E14">
        <f t="shared" si="1"/>
        <v>0.58650000000000002</v>
      </c>
      <c r="F14">
        <f t="shared" si="2"/>
        <v>7.8999999999999959E-2</v>
      </c>
      <c r="G14">
        <f t="shared" si="3"/>
        <v>1.5799999999999992</v>
      </c>
      <c r="H14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B057-3C02-4D7C-A564-E26375C3C32B}">
  <dimension ref="A1:J10"/>
  <sheetViews>
    <sheetView workbookViewId="0">
      <selection sqref="A1:G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14</v>
      </c>
      <c r="I1" t="s">
        <v>4</v>
      </c>
      <c r="J1" t="s">
        <v>5</v>
      </c>
    </row>
    <row r="2" spans="1:10" x14ac:dyDescent="0.3">
      <c r="A2">
        <v>0.01</v>
      </c>
      <c r="B2">
        <v>0.5</v>
      </c>
      <c r="C2">
        <v>-0.40600000000000003</v>
      </c>
      <c r="D2">
        <v>0.38800000000000001</v>
      </c>
      <c r="E2">
        <f>(C2+D2)</f>
        <v>-1.8000000000000016E-2</v>
      </c>
      <c r="F2">
        <f>D2-C2</f>
        <v>0.79400000000000004</v>
      </c>
      <c r="G2">
        <f>F2/A2</f>
        <v>79.400000000000006</v>
      </c>
    </row>
    <row r="3" spans="1:10" x14ac:dyDescent="0.3">
      <c r="A3">
        <v>1E-3</v>
      </c>
      <c r="B3">
        <v>0.5</v>
      </c>
      <c r="C3">
        <v>-3.7499999999999999E-2</v>
      </c>
      <c r="D3">
        <v>4.2900000000000001E-2</v>
      </c>
      <c r="E3">
        <f t="shared" ref="E3:E10" si="0">(C3+D3)</f>
        <v>5.400000000000002E-3</v>
      </c>
      <c r="F3">
        <f t="shared" ref="F3:F10" si="1">D3-C3</f>
        <v>8.0399999999999999E-2</v>
      </c>
      <c r="G3">
        <f t="shared" ref="G3:G10" si="2">F3/A3</f>
        <v>80.399999999999991</v>
      </c>
    </row>
    <row r="4" spans="1:10" x14ac:dyDescent="0.3">
      <c r="A4">
        <v>1.4999999999999999E-2</v>
      </c>
      <c r="B4">
        <v>0.5</v>
      </c>
      <c r="C4">
        <v>-0.59</v>
      </c>
      <c r="D4">
        <v>0.60199999999999998</v>
      </c>
      <c r="E4">
        <f t="shared" si="0"/>
        <v>1.2000000000000011E-2</v>
      </c>
      <c r="F4">
        <f t="shared" si="1"/>
        <v>1.1919999999999999</v>
      </c>
      <c r="G4">
        <f t="shared" si="2"/>
        <v>79.466666666666669</v>
      </c>
    </row>
    <row r="5" spans="1:10" x14ac:dyDescent="0.3">
      <c r="A5">
        <v>0.02</v>
      </c>
      <c r="B5">
        <v>0.5</v>
      </c>
      <c r="C5">
        <v>-0.78200000000000003</v>
      </c>
      <c r="D5">
        <v>0.79800000000000004</v>
      </c>
      <c r="E5">
        <f t="shared" si="0"/>
        <v>1.6000000000000014E-2</v>
      </c>
      <c r="F5">
        <f t="shared" si="1"/>
        <v>1.58</v>
      </c>
      <c r="G5">
        <f t="shared" si="2"/>
        <v>79</v>
      </c>
    </row>
    <row r="6" spans="1:10" x14ac:dyDescent="0.3">
      <c r="A6">
        <v>0.03</v>
      </c>
      <c r="B6">
        <v>0.5</v>
      </c>
      <c r="C6">
        <v>-1.18</v>
      </c>
      <c r="D6">
        <v>1.1959</v>
      </c>
      <c r="E6">
        <f>(C6+D6)</f>
        <v>1.5900000000000025E-2</v>
      </c>
      <c r="F6">
        <f t="shared" si="1"/>
        <v>2.3758999999999997</v>
      </c>
      <c r="G6">
        <f t="shared" si="2"/>
        <v>79.196666666666658</v>
      </c>
    </row>
    <row r="7" spans="1:10" x14ac:dyDescent="0.3">
      <c r="E7">
        <f t="shared" si="0"/>
        <v>0</v>
      </c>
      <c r="F7">
        <f t="shared" si="1"/>
        <v>0</v>
      </c>
      <c r="G7" t="e">
        <f t="shared" si="2"/>
        <v>#DIV/0!</v>
      </c>
    </row>
    <row r="8" spans="1:10" x14ac:dyDescent="0.3">
      <c r="E8">
        <f t="shared" si="0"/>
        <v>0</v>
      </c>
      <c r="F8">
        <f t="shared" si="1"/>
        <v>0</v>
      </c>
      <c r="G8" t="e">
        <f t="shared" si="2"/>
        <v>#DIV/0!</v>
      </c>
    </row>
    <row r="9" spans="1:10" x14ac:dyDescent="0.3">
      <c r="E9">
        <f t="shared" si="0"/>
        <v>0</v>
      </c>
      <c r="F9">
        <f t="shared" si="1"/>
        <v>0</v>
      </c>
      <c r="G9" t="e">
        <f t="shared" si="2"/>
        <v>#DIV/0!</v>
      </c>
    </row>
    <row r="10" spans="1:10" x14ac:dyDescent="0.3">
      <c r="E10">
        <f t="shared" si="0"/>
        <v>0</v>
      </c>
      <c r="F10">
        <f t="shared" si="1"/>
        <v>0</v>
      </c>
      <c r="G10" t="e">
        <f t="shared" si="2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D4A2-1BCA-42AA-80F1-00A6E9162211}">
  <dimension ref="A1:K17"/>
  <sheetViews>
    <sheetView tabSelected="1" workbookViewId="0">
      <selection activeCell="H23" sqref="H23"/>
    </sheetView>
  </sheetViews>
  <sheetFormatPr defaultRowHeight="14.4" x14ac:dyDescent="0.3"/>
  <cols>
    <col min="8" max="8" width="10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14</v>
      </c>
      <c r="I1" t="s">
        <v>4</v>
      </c>
      <c r="K1" t="s">
        <v>17</v>
      </c>
    </row>
    <row r="2" spans="1:11" x14ac:dyDescent="0.3">
      <c r="A2">
        <v>0.03</v>
      </c>
      <c r="B2">
        <v>0.5</v>
      </c>
      <c r="C2" s="1">
        <v>-1.0030000000000001E-2</v>
      </c>
      <c r="D2" s="1">
        <v>5.64E-3</v>
      </c>
      <c r="E2" s="1">
        <f>(C2+D2)/2</f>
        <v>-2.1950000000000003E-3</v>
      </c>
      <c r="F2" s="1">
        <f>D2-C2</f>
        <v>1.567E-2</v>
      </c>
      <c r="G2">
        <f>F2/A2</f>
        <v>0.52233333333333332</v>
      </c>
      <c r="I2">
        <v>1</v>
      </c>
      <c r="K2">
        <f>20*LOG(G2)</f>
        <v>-5.6410451650214464</v>
      </c>
    </row>
    <row r="3" spans="1:11" x14ac:dyDescent="0.3">
      <c r="A3">
        <v>0.03</v>
      </c>
      <c r="B3">
        <v>0.5</v>
      </c>
      <c r="C3" s="1">
        <v>-0.67900000000000005</v>
      </c>
      <c r="D3" s="1">
        <v>0.67900000000000005</v>
      </c>
      <c r="E3" s="1">
        <f t="shared" ref="E3:E17" si="0">(C3+D3)/2</f>
        <v>0</v>
      </c>
      <c r="F3" s="1">
        <f t="shared" ref="F3:F17" si="1">D3-C3</f>
        <v>1.3580000000000001</v>
      </c>
      <c r="G3">
        <f t="shared" ref="G3:G17" si="2">F3/A3</f>
        <v>45.266666666666673</v>
      </c>
      <c r="I3">
        <v>10</v>
      </c>
      <c r="K3">
        <f t="shared" ref="K3:K17" si="3">20*LOG(G3)</f>
        <v>33.115570304496408</v>
      </c>
    </row>
    <row r="4" spans="1:11" x14ac:dyDescent="0.3">
      <c r="A4">
        <v>0.03</v>
      </c>
      <c r="B4">
        <v>0.5</v>
      </c>
      <c r="C4">
        <v>-1.1779999999999999</v>
      </c>
      <c r="D4">
        <v>1.1779999999999999</v>
      </c>
      <c r="E4" s="1">
        <f t="shared" si="0"/>
        <v>0</v>
      </c>
      <c r="F4" s="1">
        <f t="shared" si="1"/>
        <v>2.3559999999999999</v>
      </c>
      <c r="G4">
        <f t="shared" si="2"/>
        <v>78.533333333333331</v>
      </c>
      <c r="I4">
        <v>50</v>
      </c>
      <c r="K4">
        <f t="shared" si="3"/>
        <v>37.90108062790803</v>
      </c>
    </row>
    <row r="5" spans="1:11" x14ac:dyDescent="0.3">
      <c r="A5">
        <v>0.03</v>
      </c>
      <c r="B5">
        <v>0.5</v>
      </c>
      <c r="C5">
        <v>-1.1779999999999999</v>
      </c>
      <c r="D5">
        <v>1.1779999999999999</v>
      </c>
      <c r="E5" s="1">
        <f t="shared" si="0"/>
        <v>0</v>
      </c>
      <c r="F5" s="1">
        <f t="shared" si="1"/>
        <v>2.3559999999999999</v>
      </c>
      <c r="G5">
        <f t="shared" si="2"/>
        <v>78.533333333333331</v>
      </c>
      <c r="I5">
        <v>100</v>
      </c>
      <c r="K5">
        <f t="shared" si="3"/>
        <v>37.90108062790803</v>
      </c>
    </row>
    <row r="6" spans="1:11" x14ac:dyDescent="0.3">
      <c r="A6">
        <v>0.03</v>
      </c>
      <c r="B6">
        <v>0.5</v>
      </c>
      <c r="C6">
        <v>-1.1779999999999999</v>
      </c>
      <c r="D6">
        <v>1.1779999999999999</v>
      </c>
      <c r="E6" s="1">
        <f t="shared" si="0"/>
        <v>0</v>
      </c>
      <c r="F6" s="1">
        <f t="shared" si="1"/>
        <v>2.3559999999999999</v>
      </c>
      <c r="G6">
        <f t="shared" si="2"/>
        <v>78.533333333333331</v>
      </c>
      <c r="I6">
        <v>200</v>
      </c>
      <c r="K6">
        <f t="shared" si="3"/>
        <v>37.90108062790803</v>
      </c>
    </row>
    <row r="7" spans="1:11" x14ac:dyDescent="0.3">
      <c r="A7">
        <v>0.03</v>
      </c>
      <c r="B7">
        <v>0.5</v>
      </c>
      <c r="C7">
        <v>-1.1315</v>
      </c>
      <c r="D7">
        <v>1.131</v>
      </c>
      <c r="E7" s="1">
        <f t="shared" si="0"/>
        <v>-2.4999999999997247E-4</v>
      </c>
      <c r="F7" s="1">
        <f t="shared" si="1"/>
        <v>2.2625000000000002</v>
      </c>
      <c r="G7">
        <f t="shared" si="2"/>
        <v>75.416666666666671</v>
      </c>
      <c r="I7">
        <v>300</v>
      </c>
      <c r="K7">
        <f t="shared" si="3"/>
        <v>37.549346663151567</v>
      </c>
    </row>
    <row r="8" spans="1:11" x14ac:dyDescent="0.3">
      <c r="A8">
        <v>0.03</v>
      </c>
      <c r="B8">
        <v>0.5</v>
      </c>
      <c r="C8">
        <v>-1.014</v>
      </c>
      <c r="D8">
        <v>1.014</v>
      </c>
      <c r="E8" s="1">
        <f t="shared" si="0"/>
        <v>0</v>
      </c>
      <c r="F8" s="1">
        <f t="shared" si="1"/>
        <v>2.028</v>
      </c>
      <c r="G8">
        <f t="shared" si="2"/>
        <v>67.600000000000009</v>
      </c>
      <c r="I8">
        <v>400</v>
      </c>
      <c r="K8">
        <f t="shared" si="3"/>
        <v>36.598933918832721</v>
      </c>
    </row>
    <row r="9" spans="1:11" x14ac:dyDescent="0.3">
      <c r="A9">
        <v>0.03</v>
      </c>
      <c r="B9">
        <v>0.5</v>
      </c>
      <c r="C9" s="1">
        <v>-0.86199999999999999</v>
      </c>
      <c r="D9" s="1">
        <v>0.86799999999999999</v>
      </c>
      <c r="E9" s="1">
        <f t="shared" si="0"/>
        <v>3.0000000000000027E-3</v>
      </c>
      <c r="F9" s="1">
        <f t="shared" si="1"/>
        <v>1.73</v>
      </c>
      <c r="G9">
        <f t="shared" si="2"/>
        <v>57.666666666666671</v>
      </c>
      <c r="I9">
        <v>500</v>
      </c>
      <c r="K9">
        <f t="shared" si="3"/>
        <v>35.218496968182663</v>
      </c>
    </row>
    <row r="10" spans="1:11" x14ac:dyDescent="0.3">
      <c r="A10">
        <v>0.03</v>
      </c>
      <c r="B10">
        <v>0.5</v>
      </c>
      <c r="C10" s="1">
        <v>-0.71</v>
      </c>
      <c r="D10" s="1">
        <v>0.70399999999999996</v>
      </c>
      <c r="E10" s="1">
        <f t="shared" si="0"/>
        <v>-3.0000000000000027E-3</v>
      </c>
      <c r="F10" s="1">
        <f t="shared" si="1"/>
        <v>1.4139999999999999</v>
      </c>
      <c r="G10">
        <f t="shared" si="2"/>
        <v>47.133333333333333</v>
      </c>
      <c r="I10">
        <v>600</v>
      </c>
      <c r="K10">
        <f t="shared" si="3"/>
        <v>33.466563094824366</v>
      </c>
    </row>
    <row r="11" spans="1:11" x14ac:dyDescent="0.3">
      <c r="A11">
        <v>0.03</v>
      </c>
      <c r="B11">
        <v>0.5</v>
      </c>
      <c r="C11" s="1">
        <v>-0.56399999999999995</v>
      </c>
      <c r="D11" s="1">
        <v>0.56999999999999995</v>
      </c>
      <c r="E11" s="1">
        <f t="shared" si="0"/>
        <v>3.0000000000000027E-3</v>
      </c>
      <c r="F11" s="1">
        <f t="shared" si="1"/>
        <v>1.1339999999999999</v>
      </c>
      <c r="G11">
        <f t="shared" si="2"/>
        <v>37.799999999999997</v>
      </c>
      <c r="I11">
        <v>700</v>
      </c>
      <c r="K11">
        <f t="shared" si="3"/>
        <v>31.549835996744505</v>
      </c>
    </row>
    <row r="12" spans="1:11" x14ac:dyDescent="0.3">
      <c r="A12">
        <v>0.03</v>
      </c>
      <c r="B12">
        <v>0.5</v>
      </c>
      <c r="C12" s="1">
        <v>-0.47</v>
      </c>
      <c r="D12" s="1">
        <v>0.45900000000000002</v>
      </c>
      <c r="E12" s="1">
        <f t="shared" si="0"/>
        <v>-5.4999999999999771E-3</v>
      </c>
      <c r="F12" s="1">
        <f t="shared" si="1"/>
        <v>0.92900000000000005</v>
      </c>
      <c r="G12">
        <f t="shared" si="2"/>
        <v>30.966666666666669</v>
      </c>
      <c r="I12">
        <v>800</v>
      </c>
      <c r="K12">
        <f t="shared" si="3"/>
        <v>29.81788918547959</v>
      </c>
    </row>
    <row r="13" spans="1:11" x14ac:dyDescent="0.3">
      <c r="A13">
        <v>0.03</v>
      </c>
      <c r="B13">
        <v>0.5</v>
      </c>
      <c r="C13" s="1">
        <v>-0.36499999999999999</v>
      </c>
      <c r="D13" s="1">
        <v>0.371</v>
      </c>
      <c r="E13" s="1">
        <f t="shared" si="0"/>
        <v>3.0000000000000027E-3</v>
      </c>
      <c r="F13" s="1">
        <f t="shared" si="1"/>
        <v>0.73599999999999999</v>
      </c>
      <c r="G13">
        <f t="shared" si="2"/>
        <v>24.533333333333335</v>
      </c>
      <c r="I13">
        <v>900</v>
      </c>
      <c r="K13">
        <f t="shared" si="3"/>
        <v>27.795131192356731</v>
      </c>
    </row>
    <row r="14" spans="1:11" x14ac:dyDescent="0.3">
      <c r="A14">
        <v>0.03</v>
      </c>
      <c r="B14">
        <v>0.5</v>
      </c>
      <c r="C14" s="1">
        <v>-0.312</v>
      </c>
      <c r="D14" s="1">
        <v>0.312</v>
      </c>
      <c r="E14" s="1">
        <f t="shared" si="0"/>
        <v>0</v>
      </c>
      <c r="F14" s="1">
        <f t="shared" si="1"/>
        <v>0.624</v>
      </c>
      <c r="G14">
        <f t="shared" si="2"/>
        <v>20.8</v>
      </c>
      <c r="I14">
        <v>1000</v>
      </c>
      <c r="K14">
        <f t="shared" si="3"/>
        <v>26.361266699255232</v>
      </c>
    </row>
    <row r="15" spans="1:11" x14ac:dyDescent="0.3">
      <c r="A15">
        <v>0.03</v>
      </c>
      <c r="B15">
        <v>0.5</v>
      </c>
      <c r="C15" s="1">
        <v>-0.20100000000000001</v>
      </c>
      <c r="D15" s="1">
        <v>0.20100000000000001</v>
      </c>
      <c r="E15" s="1">
        <f t="shared" si="0"/>
        <v>0</v>
      </c>
      <c r="F15" s="1">
        <f t="shared" si="1"/>
        <v>0.40200000000000002</v>
      </c>
      <c r="G15">
        <f t="shared" si="2"/>
        <v>13.400000000000002</v>
      </c>
      <c r="I15">
        <v>1250</v>
      </c>
      <c r="K15">
        <f t="shared" si="3"/>
        <v>22.542095967296156</v>
      </c>
    </row>
    <row r="16" spans="1:11" x14ac:dyDescent="0.3">
      <c r="A16">
        <v>0.03</v>
      </c>
      <c r="B16">
        <v>0.5</v>
      </c>
      <c r="C16" s="1">
        <v>-0.14499999999999999</v>
      </c>
      <c r="D16" s="1">
        <v>0.14199999999999999</v>
      </c>
      <c r="E16" s="1">
        <f t="shared" si="0"/>
        <v>-1.5000000000000013E-3</v>
      </c>
      <c r="F16" s="1">
        <f t="shared" si="1"/>
        <v>0.28699999999999998</v>
      </c>
      <c r="G16">
        <f t="shared" si="2"/>
        <v>9.5666666666666664</v>
      </c>
      <c r="I16">
        <v>1500</v>
      </c>
      <c r="K16">
        <f t="shared" si="3"/>
        <v>19.615212840286599</v>
      </c>
    </row>
    <row r="17" spans="1:11" x14ac:dyDescent="0.3">
      <c r="A17">
        <v>0.03</v>
      </c>
      <c r="B17">
        <v>0.5</v>
      </c>
      <c r="C17" s="1">
        <v>-8.1000000000000003E-2</v>
      </c>
      <c r="D17" s="1">
        <v>0.08</v>
      </c>
      <c r="E17" s="1">
        <f t="shared" si="0"/>
        <v>-5.0000000000000044E-4</v>
      </c>
      <c r="F17" s="1">
        <f t="shared" si="1"/>
        <v>0.161</v>
      </c>
      <c r="G17">
        <f t="shared" si="2"/>
        <v>5.3666666666666671</v>
      </c>
      <c r="I17">
        <v>2000</v>
      </c>
      <c r="K17">
        <f t="shared" si="3"/>
        <v>14.594092426243746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Instrumentation_Amplifier</vt:lpstr>
      <vt:lpstr>TP2</vt:lpstr>
      <vt:lpstr>LP_OUT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Williem Agnihotri</dc:creator>
  <cp:lastModifiedBy>Williem Agnihotri</cp:lastModifiedBy>
  <dcterms:created xsi:type="dcterms:W3CDTF">2026-05-18T03:51:10Z</dcterms:created>
  <dcterms:modified xsi:type="dcterms:W3CDTF">2026-05-18T21:44:36Z</dcterms:modified>
</cp:coreProperties>
</file>